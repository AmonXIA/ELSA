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口算题" sheetId="1" state="visible" r:id="rId1"/>
    <sheet name="答案" sheetId="2" state="visible" r:id="rId2"/>
  </sheets>
  <definedNames>
    <definedName name="_xlnm.Print_Area" localSheetId="0">'口算题'!$A$1:$J$24</definedName>
    <definedName name="_xlnm.Print_Area" localSheetId="1">'答案'!$A$1:$J$24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3864"/>
      <sz val="20"/>
    </font>
    <font>
      <name val="微软雅黑"/>
      <color rgb="00404040"/>
      <sz val="11"/>
    </font>
    <font>
      <name val="微软雅黑"/>
      <b val="1"/>
      <color rgb="009C5700"/>
      <sz val="11"/>
    </font>
    <font>
      <name val="微软雅黑"/>
      <b val="1"/>
      <color rgb="001F3864"/>
      <sz val="12"/>
    </font>
    <font>
      <name val="微软雅黑"/>
      <color rgb="00000000"/>
      <sz val="13"/>
    </font>
    <font>
      <name val="Consolas"/>
      <color rgb="00000000"/>
      <sz val="18"/>
    </font>
    <font>
      <name val="微软雅黑"/>
      <color rgb="00000000"/>
      <sz val="15"/>
    </font>
    <font>
      <name val="微软雅黑"/>
      <color rgb="00808080"/>
      <sz val="9"/>
    </font>
    <font>
      <name val="微软雅黑"/>
      <color rgb="00C00000"/>
      <sz val="13"/>
    </font>
    <font>
      <name val="Consolas"/>
      <color rgb="00C00000"/>
      <sz val="18"/>
    </font>
    <font>
      <name val="微软雅黑"/>
      <color rgb="00C00000"/>
      <sz val="15"/>
    </font>
  </fonts>
  <fills count="4">
    <fill>
      <patternFill/>
    </fill>
    <fill>
      <patternFill patternType="gray125"/>
    </fill>
    <fill>
      <patternFill patternType="solid">
        <fgColor rgb="00FFF3CC"/>
      </patternFill>
    </fill>
    <fill>
      <patternFill patternType="solid">
        <fgColor rgb="00DCE9F7"/>
      </patternFill>
    </fill>
  </fills>
  <borders count="3">
    <border>
      <left/>
      <right/>
      <top/>
      <bottom/>
      <diagonal/>
    </border>
    <border>
      <left style="thin">
        <color rgb="00B7C4D4"/>
      </left>
      <right style="thin">
        <color rgb="00B7C4D4"/>
      </right>
      <top style="thin">
        <color rgb="00B7C4D4"/>
      </top>
      <bottom style="thin">
        <color rgb="00B7C4D4"/>
      </bottom>
    </border>
    <border>
      <bottom style="medium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0" applyAlignment="1" pivotButton="0" quotePrefix="0" xfId="0">
      <alignment horizontal="right" vertical="center" indent="1"/>
    </xf>
    <xf numFmtId="0" fontId="6" fillId="0" borderId="2" applyAlignment="1" pivotButton="0" quotePrefix="0" xfId="0">
      <alignment horizontal="right" vertical="center" indent="1"/>
    </xf>
    <xf numFmtId="0" fontId="7" fillId="0" borderId="1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right" vertical="center" indent="1"/>
    </xf>
    <xf numFmtId="0" fontId="10" fillId="0" borderId="2" applyAlignment="1" pivotButton="0" quotePrefix="0" xfId="0">
      <alignment horizontal="right" vertical="center" indent="1"/>
    </xf>
    <xf numFmtId="0" fontId="11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8" customHeight="1">
      <c r="A1" s="1" t="inlineStr">
        <is>
          <t>100以内加减法练习（30题）</t>
        </is>
      </c>
    </row>
    <row r="2" ht="22" customHeight="1">
      <c r="A2" s="2" t="inlineStr">
        <is>
          <t>姓名：____________　　日期：____________　　用时：______分　　正确：______ / 30</t>
        </is>
      </c>
    </row>
    <row r="3" ht="22" customHeight="1">
      <c r="A3" s="3" t="inlineStr">
        <is>
          <t>刷新题目：按键盘 F9 键，一键更换全部 30 道题；打开本文件时也会自动出新题。</t>
        </is>
      </c>
    </row>
    <row r="4" ht="8" customHeight="1"/>
    <row r="5" ht="24" customHeight="1">
      <c r="A5" s="4" t="inlineStr">
        <is>
          <t>一、口算（20题）：不进退位 · 进退位 · 连加连减 · 填缺数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30" customHeight="1">
      <c r="A6" s="6" t="str">
        <f>G26&amp;" "&amp;E26&amp;" "&amp;H26&amp;" = "</f>
        <v>66 + 12 = </v>
      </c>
      <c r="B6" s="7" t="n"/>
      <c r="C6" s="6" t="str">
        <f>G31&amp;" "&amp;E31&amp;" "&amp;H31&amp;" = "</f>
        <v>71 + 9 = </v>
      </c>
      <c r="D6" s="7" t="n"/>
      <c r="E6" s="6" t="str">
        <f>G36&amp;" "&amp;E36&amp;" "&amp;H36&amp;" "&amp;F36&amp;" "&amp;I36&amp;" = "</f>
        <v>34 + 26 + 21 = </v>
      </c>
      <c r="F6" s="7" t="n"/>
      <c r="G6" s="7" t="n"/>
      <c r="H6" s="6" t="str">
        <f>IF(F41=1,"（　　） "&amp;D41&amp;" "&amp;B41&amp;" "&amp;E41&amp;" "&amp;C41,IF(F41=2,A41&amp;" "&amp;D41&amp;" （　　） "&amp;E41&amp;" "&amp;C41,A41&amp;" "&amp;D41&amp;" "&amp;B41&amp;" "&amp;E41&amp;" （　　）"))&amp;" = "&amp;G41</f>
        <v>23 + （　　） + 29 = 70</v>
      </c>
      <c r="I6" s="7" t="n"/>
      <c r="J6" s="7" t="n"/>
    </row>
    <row r="7" ht="30" customHeight="1">
      <c r="A7" s="6" t="str">
        <f>G27&amp;" "&amp;E27&amp;" "&amp;H27&amp;" = "</f>
        <v>96 - 60 = </v>
      </c>
      <c r="B7" s="7" t="n"/>
      <c r="C7" s="6" t="str">
        <f>G32&amp;" "&amp;E32&amp;" "&amp;H32&amp;" = "</f>
        <v>31 - 14 = </v>
      </c>
      <c r="D7" s="7" t="n"/>
      <c r="E7" s="6" t="str">
        <f>G37&amp;" "&amp;E37&amp;" "&amp;H37&amp;" "&amp;F37&amp;" "&amp;I37&amp;" = "</f>
        <v>84 - 31 - 31 = </v>
      </c>
      <c r="F7" s="7" t="n"/>
      <c r="G7" s="7" t="n"/>
      <c r="H7" s="6" t="str">
        <f>IF(F42=1,"（　　） "&amp;D42&amp;" "&amp;B42&amp;" "&amp;E42&amp;" "&amp;C42,IF(F42=2,A42&amp;" "&amp;D42&amp;" （　　） "&amp;E42&amp;" "&amp;C42,A42&amp;" "&amp;D42&amp;" "&amp;B42&amp;" "&amp;E42&amp;" （　　）"))&amp;" = "&amp;G42</f>
        <v>77 - （　　） - 13 = 32</v>
      </c>
      <c r="I7" s="7" t="n"/>
      <c r="J7" s="7" t="n"/>
    </row>
    <row r="8" ht="30" customHeight="1">
      <c r="A8" s="6" t="str">
        <f>G28&amp;" "&amp;E28&amp;" "&amp;H28&amp;" = "</f>
        <v>11 + 7 = </v>
      </c>
      <c r="B8" s="7" t="n"/>
      <c r="C8" s="6" t="str">
        <f>G33&amp;" "&amp;E33&amp;" "&amp;H33&amp;" = "</f>
        <v>18 + 29 = </v>
      </c>
      <c r="D8" s="7" t="n"/>
      <c r="E8" s="6" t="str">
        <f>G38&amp;" "&amp;E38&amp;" "&amp;H38&amp;" "&amp;F38&amp;" "&amp;I38&amp;" = "</f>
        <v>50 + 25 - 30 = </v>
      </c>
      <c r="F8" s="7" t="n"/>
      <c r="G8" s="7" t="n"/>
      <c r="H8" s="6" t="str">
        <f>IF(F43=1,"（　　） "&amp;D43&amp;" "&amp;B43&amp;" "&amp;E43&amp;" "&amp;C43,IF(F43=2,A43&amp;" "&amp;D43&amp;" （　　） "&amp;E43&amp;" "&amp;C43,A43&amp;" "&amp;D43&amp;" "&amp;B43&amp;" "&amp;E43&amp;" （　　）"))&amp;" = "&amp;G43</f>
        <v>13 + 74 - （　　） = 53</v>
      </c>
      <c r="I8" s="7" t="n"/>
      <c r="J8" s="7" t="n"/>
    </row>
    <row r="9" ht="30" customHeight="1">
      <c r="A9" s="6" t="str">
        <f>G29&amp;" "&amp;E29&amp;" "&amp;H29&amp;" = "</f>
        <v>34 - 23 = </v>
      </c>
      <c r="B9" s="7" t="n"/>
      <c r="C9" s="6" t="str">
        <f>G34&amp;" "&amp;E34&amp;" "&amp;H34&amp;" = "</f>
        <v>22 - 6 = </v>
      </c>
      <c r="D9" s="7" t="n"/>
      <c r="E9" s="6" t="str">
        <f>G39&amp;" "&amp;E39&amp;" "&amp;H39&amp;" "&amp;F39&amp;" "&amp;I39&amp;" = "</f>
        <v>69 - 15 + 17 = </v>
      </c>
      <c r="F9" s="7" t="n"/>
      <c r="G9" s="7" t="n"/>
      <c r="H9" s="6" t="str">
        <f>IF(F44=1,"（　　） "&amp;D44&amp;" "&amp;B44&amp;" "&amp;E44&amp;" "&amp;C44,IF(F44=2,A44&amp;" "&amp;D44&amp;" （　　） "&amp;E44&amp;" "&amp;C44,A44&amp;" "&amp;D44&amp;" "&amp;B44&amp;" "&amp;E44&amp;" （　　）"))&amp;" = "&amp;G44</f>
        <v>86 - 45 + （　　） = 98</v>
      </c>
      <c r="I9" s="7" t="n"/>
      <c r="J9" s="7" t="n"/>
    </row>
    <row r="10" ht="30" customHeight="1">
      <c r="A10" s="6" t="str">
        <f>G30&amp;" "&amp;E30&amp;" "&amp;H30&amp;" = "</f>
        <v>75 + 11 = </v>
      </c>
      <c r="B10" s="7" t="n"/>
      <c r="C10" s="6" t="str">
        <f>G35&amp;" "&amp;E35&amp;" "&amp;H35&amp;" = "</f>
        <v>14 + 28 = </v>
      </c>
      <c r="D10" s="7" t="n"/>
      <c r="E10" s="6" t="str">
        <f>G40&amp;" "&amp;E40&amp;" "&amp;H40&amp;" "&amp;F40&amp;" "&amp;I40&amp;" = "</f>
        <v>70 - 40 + 29 = </v>
      </c>
      <c r="F10" s="7" t="n"/>
      <c r="G10" s="7" t="n"/>
      <c r="H10" s="6" t="str">
        <f>IF(F45=1,"（　　） "&amp;D45&amp;" "&amp;B45&amp;" "&amp;E45&amp;" "&amp;C45,IF(F45=2,A45&amp;" "&amp;D45&amp;" （　　） "&amp;E45&amp;" "&amp;C45,A45&amp;" "&amp;D45&amp;" "&amp;B45&amp;" "&amp;E45&amp;" （　　）"))&amp;" = "&amp;G45</f>
        <v>（　　） + 28 - 36 = 51</v>
      </c>
      <c r="I10" s="7" t="n"/>
      <c r="J10" s="7" t="n"/>
    </row>
    <row r="11" ht="8" customHeight="1"/>
    <row r="12" ht="24" customHeight="1">
      <c r="A12" s="4" t="inlineStr">
        <is>
          <t>二、竖式计算（加减混合，5题）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24" customHeight="1">
      <c r="A13" s="8">
        <f>G46</f>
        <v>46</v>
      </c>
      <c r="C13" s="8">
        <f>G47</f>
        <v>53</v>
      </c>
      <c r="E13" s="8">
        <f>G48</f>
        <v>80</v>
      </c>
      <c r="G13" s="8">
        <f>G49</f>
        <v>19</v>
      </c>
      <c r="I13" s="8">
        <f>G50</f>
        <v>30</v>
      </c>
    </row>
    <row r="14" ht="24" customHeight="1">
      <c r="A14" s="9" t="str">
        <f>E46&amp;" "&amp;H46</f>
        <v>- 27</v>
      </c>
      <c r="C14" s="9" t="str">
        <f>E47&amp;" "&amp;H47</f>
        <v>+ 28</v>
      </c>
      <c r="E14" s="9" t="str">
        <f>E48&amp;" "&amp;H48</f>
        <v>- 46</v>
      </c>
      <c r="G14" s="9" t="str">
        <f>E49&amp;" "&amp;H49</f>
        <v>+ 43</v>
      </c>
      <c r="I14" s="9" t="str">
        <f>E50&amp;" "&amp;H50</f>
        <v>- 19</v>
      </c>
    </row>
    <row r="15" ht="34" customHeight="1">
      <c r="A15" s="8" t="n"/>
      <c r="C15" s="8" t="n"/>
      <c r="E15" s="8" t="n"/>
      <c r="G15" s="8" t="n"/>
      <c r="I15" s="8" t="n"/>
    </row>
    <row r="16" ht="10" customHeight="1"/>
    <row r="17" ht="24" customHeight="1">
      <c r="A17" s="4" t="inlineStr">
        <is>
          <t>三、按规律填空和等量代换（5题）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34" customHeight="1">
      <c r="A18" s="10" t="str">
        <f>"1、按规律填数："&amp;A51&amp;"、"&amp;(A51+D51)&amp;"、"&amp;(A51+2*D51)&amp;"、（　）、"&amp;(A51+4*D51)</f>
        <v>1、按规律填数：3、12、21、（　）、39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34" customHeight="1">
      <c r="A19" s="10" t="str">
        <f>IF(J52=1,"2、找规律，接着画：● ○ ● ○ ● （　）",IF(J52=2,"2、找规律，接着画：○ ● ○ ● ○ （　）",IF(J52=3,"2、找规律，接着画：▲ ■ ▲ ■ ▲ （　）","2、找规律，接着画：● ● ○ ● ● ○ ● （　）")))</f>
        <v>2、找规律，接着画：● ● ○ ● ● ○ ● （　）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34" customHeight="1">
      <c r="A20" s="10" t="str">
        <f>"3、1个西瓜 = "&amp;A53&amp;"个苹果，1个苹果 = "&amp;B53&amp;"个桃子，1个西瓜 =（　）个桃子"</f>
        <v>3、1个西瓜 = 3个苹果，1个苹果 = 4个桃子，1个西瓜 =（　）个桃子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 ht="34" customHeight="1">
      <c r="A21" s="10" t="str">
        <f>"4、△ + △ + △ = "&amp;(3*A54)&amp;"，△ =（　）"</f>
        <v>4、△ + △ + △ = 24，△ =（　）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34" customHeight="1">
      <c r="A22" s="10" t="str">
        <f>"5、△ + ○ = "&amp;A55&amp;"，△ = "&amp;B55&amp;"，○ =（　）"</f>
        <v>5、△ + ○ = 15，△ = 6，○ =（　）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 ht="8" customHeight="1"/>
    <row r="24" ht="15" customHeight="1">
      <c r="A24" s="11" t="inlineStr">
        <is>
          <t>答案见“答案”工作表。</t>
        </is>
      </c>
    </row>
    <row r="26" hidden="1">
      <c r="A26">
        <f>RANDBETWEEN(1,8)</f>
        <v>6</v>
      </c>
      <c r="B26">
        <f>RANDBETWEEN(0,8)</f>
        <v>6</v>
      </c>
      <c r="C26">
        <f>RANDBETWEEN(0,9-A26)</f>
        <v>1</v>
      </c>
      <c r="D26">
        <f>IF(C26=0,RANDBETWEEN(1,9-B26),RANDBETWEEN(0,9-B26))</f>
        <v>2</v>
      </c>
      <c r="E26" t="inlineStr">
        <is>
          <t>+</t>
        </is>
      </c>
      <c r="G26">
        <f>A26*10+B26</f>
        <v>66</v>
      </c>
      <c r="H26">
        <f>C26*10+D26</f>
        <v>12</v>
      </c>
    </row>
    <row r="27" hidden="1">
      <c r="A27">
        <f>RANDBETWEEN(1,9)</f>
        <v>9</v>
      </c>
      <c r="B27">
        <f>RANDBETWEEN(1,9)</f>
        <v>6</v>
      </c>
      <c r="C27">
        <f>RANDBETWEEN(0,A27-1)</f>
        <v>6</v>
      </c>
      <c r="D27">
        <f>IF(C27=0,RANDBETWEEN(1,B27),RANDBETWEEN(0,B27))</f>
        <v>0</v>
      </c>
      <c r="E27" t="inlineStr">
        <is>
          <t>-</t>
        </is>
      </c>
      <c r="G27">
        <f>A27*10+B27</f>
        <v>96</v>
      </c>
      <c r="H27">
        <f>C27*10+D27</f>
        <v>60</v>
      </c>
    </row>
    <row r="28" hidden="1">
      <c r="A28">
        <f>RANDBETWEEN(1,8)</f>
        <v>1</v>
      </c>
      <c r="B28">
        <f>RANDBETWEEN(0,8)</f>
        <v>1</v>
      </c>
      <c r="C28">
        <f>RANDBETWEEN(0,9-A28)</f>
        <v>0</v>
      </c>
      <c r="D28">
        <f>IF(C28=0,RANDBETWEEN(1,9-B28),RANDBETWEEN(0,9-B28))</f>
        <v>7</v>
      </c>
      <c r="E28" t="inlineStr">
        <is>
          <t>+</t>
        </is>
      </c>
      <c r="G28">
        <f>A28*10+B28</f>
        <v>11</v>
      </c>
      <c r="H28">
        <f>C28*10+D28</f>
        <v>7</v>
      </c>
    </row>
    <row r="29" hidden="1">
      <c r="A29">
        <f>RANDBETWEEN(1,9)</f>
        <v>3</v>
      </c>
      <c r="B29">
        <f>RANDBETWEEN(1,9)</f>
        <v>4</v>
      </c>
      <c r="C29">
        <f>RANDBETWEEN(0,A29-1)</f>
        <v>2</v>
      </c>
      <c r="D29">
        <f>IF(C29=0,RANDBETWEEN(1,B29),RANDBETWEEN(0,B29))</f>
        <v>3</v>
      </c>
      <c r="E29" t="inlineStr">
        <is>
          <t>-</t>
        </is>
      </c>
      <c r="G29">
        <f>A29*10+B29</f>
        <v>34</v>
      </c>
      <c r="H29">
        <f>C29*10+D29</f>
        <v>23</v>
      </c>
    </row>
    <row r="30" hidden="1">
      <c r="A30">
        <f>RANDBETWEEN(1,8)</f>
        <v>7</v>
      </c>
      <c r="B30">
        <f>RANDBETWEEN(0,8)</f>
        <v>5</v>
      </c>
      <c r="C30">
        <f>RANDBETWEEN(0,9-A30)</f>
        <v>1</v>
      </c>
      <c r="D30">
        <f>IF(C30=0,RANDBETWEEN(1,9-B30),RANDBETWEEN(0,9-B30))</f>
        <v>1</v>
      </c>
      <c r="E30" t="inlineStr">
        <is>
          <t>+</t>
        </is>
      </c>
      <c r="G30">
        <f>A30*10+B30</f>
        <v>75</v>
      </c>
      <c r="H30">
        <f>C30*10+D30</f>
        <v>11</v>
      </c>
    </row>
    <row r="31" hidden="1">
      <c r="A31">
        <f>RANDBETWEEN(1,8)</f>
        <v>7</v>
      </c>
      <c r="B31">
        <f>RANDBETWEEN(1,9)</f>
        <v>1</v>
      </c>
      <c r="C31">
        <f>RANDBETWEEN(0,8-A31)</f>
        <v>0</v>
      </c>
      <c r="D31">
        <f>RANDBETWEEN(10-B31,9)</f>
        <v>9</v>
      </c>
      <c r="E31" t="inlineStr">
        <is>
          <t>+</t>
        </is>
      </c>
      <c r="G31">
        <f>A31*10+B31</f>
        <v>71</v>
      </c>
      <c r="H31">
        <f>C31*10+D31</f>
        <v>9</v>
      </c>
    </row>
    <row r="32" hidden="1">
      <c r="A32">
        <f>RANDBETWEEN(2,9)</f>
        <v>3</v>
      </c>
      <c r="B32">
        <f>RANDBETWEEN(0,8)</f>
        <v>1</v>
      </c>
      <c r="C32">
        <f>RANDBETWEEN(0,A32-2)</f>
        <v>1</v>
      </c>
      <c r="D32">
        <f>RANDBETWEEN(B32+1,9)</f>
        <v>4</v>
      </c>
      <c r="E32" t="inlineStr">
        <is>
          <t>-</t>
        </is>
      </c>
      <c r="G32">
        <f>A32*10+B32</f>
        <v>31</v>
      </c>
      <c r="H32">
        <f>C32*10+D32</f>
        <v>14</v>
      </c>
    </row>
    <row r="33" hidden="1">
      <c r="A33">
        <f>RANDBETWEEN(1,8)</f>
        <v>1</v>
      </c>
      <c r="B33">
        <f>RANDBETWEEN(1,9)</f>
        <v>8</v>
      </c>
      <c r="C33">
        <f>RANDBETWEEN(0,8-A33)</f>
        <v>2</v>
      </c>
      <c r="D33">
        <f>RANDBETWEEN(10-B33,9)</f>
        <v>9</v>
      </c>
      <c r="E33" t="inlineStr">
        <is>
          <t>+</t>
        </is>
      </c>
      <c r="G33">
        <f>A33*10+B33</f>
        <v>18</v>
      </c>
      <c r="H33">
        <f>C33*10+D33</f>
        <v>29</v>
      </c>
    </row>
    <row r="34" hidden="1">
      <c r="A34">
        <f>RANDBETWEEN(2,9)</f>
        <v>2</v>
      </c>
      <c r="B34">
        <f>RANDBETWEEN(0,8)</f>
        <v>2</v>
      </c>
      <c r="C34">
        <f>RANDBETWEEN(0,A34-2)</f>
        <v>0</v>
      </c>
      <c r="D34">
        <f>RANDBETWEEN(B34+1,9)</f>
        <v>6</v>
      </c>
      <c r="E34" t="inlineStr">
        <is>
          <t>-</t>
        </is>
      </c>
      <c r="G34">
        <f>A34*10+B34</f>
        <v>22</v>
      </c>
      <c r="H34">
        <f>C34*10+D34</f>
        <v>6</v>
      </c>
    </row>
    <row r="35" hidden="1">
      <c r="A35">
        <f>RANDBETWEEN(1,8)</f>
        <v>1</v>
      </c>
      <c r="B35">
        <f>RANDBETWEEN(1,9)</f>
        <v>4</v>
      </c>
      <c r="C35">
        <f>RANDBETWEEN(0,8-A35)</f>
        <v>2</v>
      </c>
      <c r="D35">
        <f>RANDBETWEEN(10-B35,9)</f>
        <v>8</v>
      </c>
      <c r="E35" t="inlineStr">
        <is>
          <t>+</t>
        </is>
      </c>
      <c r="G35">
        <f>A35*10+B35</f>
        <v>14</v>
      </c>
      <c r="H35">
        <f>C35*10+D35</f>
        <v>28</v>
      </c>
    </row>
    <row r="36" hidden="1">
      <c r="E36" t="inlineStr">
        <is>
          <t>+</t>
        </is>
      </c>
      <c r="F36" t="inlineStr">
        <is>
          <t>+</t>
        </is>
      </c>
      <c r="G36">
        <f>RANDBETWEEN(10,50)</f>
        <v>34</v>
      </c>
      <c r="H36">
        <f>RANDBETWEEN(10,90-G36)</f>
        <v>26</v>
      </c>
      <c r="I36">
        <f>RANDBETWEEN(10,100-G36-H36)</f>
        <v>21</v>
      </c>
    </row>
    <row r="37" hidden="1">
      <c r="E37" t="inlineStr">
        <is>
          <t>-</t>
        </is>
      </c>
      <c r="F37" t="inlineStr">
        <is>
          <t>-</t>
        </is>
      </c>
      <c r="G37">
        <f>RANDBETWEEN(40,99)</f>
        <v>84</v>
      </c>
      <c r="H37">
        <f>RANDBETWEEN(10,G37-20)</f>
        <v>31</v>
      </c>
      <c r="I37">
        <f>RANDBETWEEN(10,G37-H37-10)</f>
        <v>31</v>
      </c>
    </row>
    <row r="38" hidden="1">
      <c r="E38" t="inlineStr">
        <is>
          <t>+</t>
        </is>
      </c>
      <c r="F38" t="inlineStr">
        <is>
          <t>-</t>
        </is>
      </c>
      <c r="G38">
        <f>RANDBETWEEN(10,60)</f>
        <v>50</v>
      </c>
      <c r="H38">
        <f>RANDBETWEEN(10,90-G38)</f>
        <v>25</v>
      </c>
      <c r="I38">
        <f>RANDBETWEEN(10,G38+H38-10)</f>
        <v>30</v>
      </c>
    </row>
    <row r="39" hidden="1">
      <c r="E39" t="inlineStr">
        <is>
          <t>-</t>
        </is>
      </c>
      <c r="F39" t="inlineStr">
        <is>
          <t>+</t>
        </is>
      </c>
      <c r="G39">
        <f>RANDBETWEEN(40,90)</f>
        <v>69</v>
      </c>
      <c r="H39">
        <f>RANDBETWEEN(10,G39-10)</f>
        <v>15</v>
      </c>
      <c r="I39">
        <f>RANDBETWEEN(10,100-(G39-H39))</f>
        <v>17</v>
      </c>
    </row>
    <row r="40" hidden="1">
      <c r="E40" t="str">
        <f>IF(J40=1,"+","-")</f>
        <v>-</v>
      </c>
      <c r="F40" t="str">
        <f>IF(J40=1,"-","+")</f>
        <v>+</v>
      </c>
      <c r="G40">
        <f>IF(J40=1,RANDBETWEEN(10,60),RANDBETWEEN(40,90))</f>
        <v>70</v>
      </c>
      <c r="H40">
        <f>IF(J40=1,RANDBETWEEN(10,90-G40),RANDBETWEEN(10,G40-10))</f>
        <v>40</v>
      </c>
      <c r="I40">
        <f>IF(J40=1,RANDBETWEEN(10,G40+H40-10),RANDBETWEEN(10,100-(G40-H40)))</f>
        <v>29</v>
      </c>
      <c r="J40">
        <f>RANDBETWEEN(1,2)</f>
        <v>2</v>
      </c>
    </row>
    <row r="41" hidden="1">
      <c r="A41">
        <f>RANDBETWEEN(10,45)</f>
        <v>23</v>
      </c>
      <c r="B41">
        <f>RANDBETWEEN(10,44)</f>
        <v>18</v>
      </c>
      <c r="C41">
        <f>RANDBETWEEN(10,99-A41-B41)</f>
        <v>29</v>
      </c>
      <c r="D41" t="inlineStr">
        <is>
          <t>+</t>
        </is>
      </c>
      <c r="E41" t="inlineStr">
        <is>
          <t>+</t>
        </is>
      </c>
      <c r="F41" t="n">
        <v>2</v>
      </c>
      <c r="G41">
        <f>A41+B41+C41</f>
        <v>70</v>
      </c>
    </row>
    <row r="42" hidden="1">
      <c r="A42">
        <f>RANDBETWEEN(60,99)</f>
        <v>77</v>
      </c>
      <c r="B42">
        <f>RANDBETWEEN(10,A42-30)</f>
        <v>32</v>
      </c>
      <c r="C42">
        <f>RANDBETWEEN(10,A42-B42-10)</f>
        <v>13</v>
      </c>
      <c r="D42" t="inlineStr">
        <is>
          <t>-</t>
        </is>
      </c>
      <c r="E42" t="inlineStr">
        <is>
          <t>-</t>
        </is>
      </c>
      <c r="F42" t="n">
        <v>2</v>
      </c>
      <c r="G42">
        <f>A42-B42-C42</f>
        <v>32</v>
      </c>
    </row>
    <row r="43" hidden="1">
      <c r="A43">
        <f>RANDBETWEEN(10,50)</f>
        <v>13</v>
      </c>
      <c r="B43">
        <f>RANDBETWEEN(10,90-A43)</f>
        <v>74</v>
      </c>
      <c r="C43">
        <f>A43+B43-RANDBETWEEN(10,A43+B43-10)</f>
        <v>34</v>
      </c>
      <c r="D43" t="inlineStr">
        <is>
          <t>+</t>
        </is>
      </c>
      <c r="E43" t="inlineStr">
        <is>
          <t>-</t>
        </is>
      </c>
      <c r="F43" t="n">
        <v>3</v>
      </c>
      <c r="G43">
        <f>A43+B43-C43</f>
        <v>53</v>
      </c>
    </row>
    <row r="44" hidden="1">
      <c r="A44">
        <f>RANDBETWEEN(50,90)</f>
        <v>86</v>
      </c>
      <c r="B44">
        <f>RANDBETWEEN(10,A44-20)</f>
        <v>45</v>
      </c>
      <c r="C44">
        <f>RANDBETWEEN(A44-B44+10,99)-(A44-B44)</f>
        <v>57</v>
      </c>
      <c r="D44" t="inlineStr">
        <is>
          <t>-</t>
        </is>
      </c>
      <c r="E44" t="inlineStr">
        <is>
          <t>+</t>
        </is>
      </c>
      <c r="F44" t="n">
        <v>3</v>
      </c>
      <c r="G44">
        <f>A44-B44+C44</f>
        <v>98</v>
      </c>
    </row>
    <row r="45" hidden="1">
      <c r="A45">
        <f>RANDBETWEEN(30,80)</f>
        <v>59</v>
      </c>
      <c r="B45">
        <f>RANDBETWEEN(10,100-A45)</f>
        <v>28</v>
      </c>
      <c r="C45">
        <f>RANDBETWEEN(10,A45-20)</f>
        <v>36</v>
      </c>
      <c r="D45" t="inlineStr">
        <is>
          <t>+</t>
        </is>
      </c>
      <c r="E45" t="inlineStr">
        <is>
          <t>-</t>
        </is>
      </c>
      <c r="F45" t="n">
        <v>1</v>
      </c>
      <c r="G45">
        <f>A45+B45-C45</f>
        <v>51</v>
      </c>
    </row>
    <row r="46" hidden="1">
      <c r="A46">
        <f>RANDBETWEEN(3,9)</f>
        <v>4</v>
      </c>
      <c r="B46">
        <f>RANDBETWEEN(0,8)</f>
        <v>6</v>
      </c>
      <c r="C46">
        <f>RANDBETWEEN(1,A46-2)</f>
        <v>2</v>
      </c>
      <c r="D46">
        <f>RANDBETWEEN(B46+1,9)</f>
        <v>7</v>
      </c>
      <c r="E46" t="inlineStr">
        <is>
          <t>-</t>
        </is>
      </c>
      <c r="G46">
        <f>A46*10+B46</f>
        <v>46</v>
      </c>
      <c r="H46">
        <f>C46*10+D46</f>
        <v>27</v>
      </c>
    </row>
    <row r="47" hidden="1">
      <c r="A47">
        <f>RANDBETWEEN(1,7)</f>
        <v>5</v>
      </c>
      <c r="B47">
        <f>RANDBETWEEN(1,9)</f>
        <v>3</v>
      </c>
      <c r="C47">
        <f>RANDBETWEEN(1,8-A47)</f>
        <v>2</v>
      </c>
      <c r="D47">
        <f>RANDBETWEEN(10-B47,9)</f>
        <v>8</v>
      </c>
      <c r="E47" t="inlineStr">
        <is>
          <t>+</t>
        </is>
      </c>
      <c r="G47">
        <f>A47*10+B47</f>
        <v>53</v>
      </c>
      <c r="H47">
        <f>C47*10+D47</f>
        <v>28</v>
      </c>
    </row>
    <row r="48" hidden="1">
      <c r="A48">
        <f>RANDBETWEEN(3,9)</f>
        <v>8</v>
      </c>
      <c r="B48">
        <f>RANDBETWEEN(0,8)</f>
        <v>0</v>
      </c>
      <c r="C48">
        <f>RANDBETWEEN(1,A48-2)</f>
        <v>4</v>
      </c>
      <c r="D48">
        <f>RANDBETWEEN(B48+1,9)</f>
        <v>6</v>
      </c>
      <c r="E48" t="inlineStr">
        <is>
          <t>-</t>
        </is>
      </c>
      <c r="G48">
        <f>A48*10+B48</f>
        <v>80</v>
      </c>
      <c r="H48">
        <f>C48*10+D48</f>
        <v>46</v>
      </c>
    </row>
    <row r="49" hidden="1">
      <c r="A49">
        <f>RANDBETWEEN(1,7)</f>
        <v>1</v>
      </c>
      <c r="B49">
        <f>RANDBETWEEN(1,9)</f>
        <v>9</v>
      </c>
      <c r="C49">
        <f>RANDBETWEEN(1,8-A49)</f>
        <v>4</v>
      </c>
      <c r="D49">
        <f>RANDBETWEEN(10-B49,9)</f>
        <v>3</v>
      </c>
      <c r="E49" t="inlineStr">
        <is>
          <t>+</t>
        </is>
      </c>
      <c r="G49">
        <f>A49*10+B49</f>
        <v>19</v>
      </c>
      <c r="H49">
        <f>C49*10+D49</f>
        <v>43</v>
      </c>
    </row>
    <row r="50" hidden="1">
      <c r="A50">
        <f>RANDBETWEEN(3,9)</f>
        <v>3</v>
      </c>
      <c r="B50">
        <f>RANDBETWEEN(0,8)</f>
        <v>0</v>
      </c>
      <c r="C50">
        <f>RANDBETWEEN(1,A50-2)</f>
        <v>1</v>
      </c>
      <c r="D50">
        <f>RANDBETWEEN(B50+1,9)</f>
        <v>9</v>
      </c>
      <c r="E50" t="inlineStr">
        <is>
          <t>-</t>
        </is>
      </c>
      <c r="G50">
        <f>A50*10+B50</f>
        <v>30</v>
      </c>
      <c r="H50">
        <f>C50*10+D50</f>
        <v>19</v>
      </c>
    </row>
    <row r="51" hidden="1">
      <c r="A51">
        <f>IF(J51=1,RANDBETWEEN(1,20),RANDBETWEEN(60,99))</f>
        <v>3</v>
      </c>
      <c r="B51">
        <f>IF(J51=1,RANDBETWEEN(2,9),RANDBETWEEN(5,15))</f>
        <v>9</v>
      </c>
      <c r="D51">
        <f>IF(J51=1,B51,-B51)</f>
        <v>9</v>
      </c>
      <c r="J51">
        <f>RANDBETWEEN(1,2)</f>
        <v>1</v>
      </c>
    </row>
    <row r="52" hidden="1">
      <c r="J52">
        <f>RANDBETWEEN(1,4)</f>
        <v>4</v>
      </c>
    </row>
    <row r="53" hidden="1">
      <c r="A53">
        <f>RANDBETWEEN(2,5)</f>
        <v>3</v>
      </c>
      <c r="B53">
        <f>RANDBETWEEN(2,5)</f>
        <v>4</v>
      </c>
    </row>
    <row r="54" hidden="1">
      <c r="A54">
        <f>RANDBETWEEN(3,9)</f>
        <v>8</v>
      </c>
    </row>
    <row r="55" hidden="1">
      <c r="A55">
        <f>RANDBETWEEN(10,25)</f>
        <v>15</v>
      </c>
      <c r="B55">
        <f>RANDBETWEEN(3,7)</f>
        <v>6</v>
      </c>
    </row>
  </sheetData>
  <mergeCells count="32">
    <mergeCell ref="A5:J5"/>
    <mergeCell ref="E10:G10"/>
    <mergeCell ref="C6:D6"/>
    <mergeCell ref="A22:J22"/>
    <mergeCell ref="A17:J17"/>
    <mergeCell ref="E9:G9"/>
    <mergeCell ref="A20:J20"/>
    <mergeCell ref="A6:B6"/>
    <mergeCell ref="E6:G6"/>
    <mergeCell ref="H7:J7"/>
    <mergeCell ref="A19:J19"/>
    <mergeCell ref="C10:D10"/>
    <mergeCell ref="A7:B7"/>
    <mergeCell ref="A24:J24"/>
    <mergeCell ref="C9:D9"/>
    <mergeCell ref="E7:G7"/>
    <mergeCell ref="A1:J1"/>
    <mergeCell ref="H8:J8"/>
    <mergeCell ref="A8:B8"/>
    <mergeCell ref="C8:D8"/>
    <mergeCell ref="H10:J10"/>
    <mergeCell ref="C7:D7"/>
    <mergeCell ref="A18:J18"/>
    <mergeCell ref="A3:J3"/>
    <mergeCell ref="A10:B10"/>
    <mergeCell ref="E8:G8"/>
    <mergeCell ref="A21:J21"/>
    <mergeCell ref="A12:J12"/>
    <mergeCell ref="H9:J9"/>
    <mergeCell ref="A2:J2"/>
    <mergeCell ref="A9:B9"/>
    <mergeCell ref="H6:J6"/>
  </mergeCells>
  <printOptions horizontalCentered="1"/>
  <pageMargins left="0.45" right="0.45" top="0.5" bottom="0.5" header="0.25" footer="0.2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8" customHeight="1">
      <c r="A1" s="1" t="inlineStr">
        <is>
          <t>100以内加减法练习 · 答案</t>
        </is>
      </c>
    </row>
    <row r="2" ht="22" customHeight="1">
      <c r="A2" s="2" t="inlineStr">
        <is>
          <t>批改日期：____________　　正确：______ / 30</t>
        </is>
      </c>
    </row>
    <row r="3" ht="22" customHeight="1">
      <c r="A3" s="3" t="inlineStr">
        <is>
          <t>答案页：口算给结果，竖式给得数，第三部分括号内为所填的数。</t>
        </is>
      </c>
    </row>
    <row r="4" ht="8" customHeight="1"/>
    <row r="5" ht="24" customHeight="1">
      <c r="A5" s="4" t="inlineStr">
        <is>
          <t>一、口算（20题）：不进退位 · 进退位 · 连加连减 · 填缺数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30" customHeight="1">
      <c r="A6" s="12" t="str">
        <f>口算题!G26&amp;" "&amp;口算题!E26&amp;" "&amp;口算题!H26&amp;" = "&amp;IF(口算题!E26="+",口算题!G26+口算题!H26,口算题!G26-口算题!H26)</f>
        <v>66 + 12 = 78</v>
      </c>
      <c r="B6" s="7" t="n"/>
      <c r="C6" s="12" t="str">
        <f>口算题!G31&amp;" "&amp;口算题!E31&amp;" "&amp;口算题!H31&amp;" = "&amp;IF(口算题!E31="+",口算题!G31+口算题!H31,口算题!G31-口算题!H31)</f>
        <v>71 + 9 = 80</v>
      </c>
      <c r="D6" s="7" t="n"/>
      <c r="E6" s="12" t="str">
        <f>口算题!G36&amp;" "&amp;口算题!E36&amp;" "&amp;口算题!H36&amp;" "&amp;口算题!F36&amp;" "&amp;口算题!I36&amp;" = "&amp;IF(口算题!F36="+",IF(口算题!E36="+",口算题!G36+口算题!H36,口算题!G36-口算题!H36)+口算题!I36,IF(口算题!E36="+",口算题!G36+口算题!H36,口算题!G36-口算题!H36)-口算题!I36)</f>
        <v>34 + 26 + 21 = 81</v>
      </c>
      <c r="F6" s="7" t="n"/>
      <c r="G6" s="7" t="n"/>
      <c r="H6" s="12" t="str">
        <f>IF(口算题!F41=1,"（"&amp;口算题!A41&amp;"） "&amp;口算题!D41&amp;" "&amp;口算题!B41&amp;" "&amp;口算题!E41&amp;" "&amp;口算题!C41,IF(口算题!F41=2,口算题!A41&amp;" "&amp;口算题!D41&amp;" （"&amp;口算题!B41&amp;"） "&amp;口算题!E41&amp;" "&amp;口算题!C41,口算题!A41&amp;" "&amp;口算题!D41&amp;" "&amp;口算题!B41&amp;" "&amp;口算题!E41&amp;" （"&amp;口算题!C41&amp;"）"))&amp;" = "&amp;口算题!G41</f>
        <v>23 + （18） + 29 = 70</v>
      </c>
      <c r="I6" s="7" t="n"/>
      <c r="J6" s="7" t="n"/>
    </row>
    <row r="7" ht="30" customHeight="1">
      <c r="A7" s="12" t="str">
        <f>口算题!G27&amp;" "&amp;口算题!E27&amp;" "&amp;口算题!H27&amp;" = "&amp;IF(口算题!E27="+",口算题!G27+口算题!H27,口算题!G27-口算题!H27)</f>
        <v>96 - 60 = 36</v>
      </c>
      <c r="B7" s="7" t="n"/>
      <c r="C7" s="12" t="str">
        <f>口算题!G32&amp;" "&amp;口算题!E32&amp;" "&amp;口算题!H32&amp;" = "&amp;IF(口算题!E32="+",口算题!G32+口算题!H32,口算题!G32-口算题!H32)</f>
        <v>31 - 14 = 17</v>
      </c>
      <c r="D7" s="7" t="n"/>
      <c r="E7" s="12" t="str">
        <f>口算题!G37&amp;" "&amp;口算题!E37&amp;" "&amp;口算题!H37&amp;" "&amp;口算题!F37&amp;" "&amp;口算题!I37&amp;" = "&amp;IF(口算题!F37="+",IF(口算题!E37="+",口算题!G37+口算题!H37,口算题!G37-口算题!H37)+口算题!I37,IF(口算题!E37="+",口算题!G37+口算题!H37,口算题!G37-口算题!H37)-口算题!I37)</f>
        <v>84 - 31 - 31 = 22</v>
      </c>
      <c r="F7" s="7" t="n"/>
      <c r="G7" s="7" t="n"/>
      <c r="H7" s="12" t="str">
        <f>IF(口算题!F42=1,"（"&amp;口算题!A42&amp;"） "&amp;口算题!D42&amp;" "&amp;口算题!B42&amp;" "&amp;口算题!E42&amp;" "&amp;口算题!C42,IF(口算题!F42=2,口算题!A42&amp;" "&amp;口算题!D42&amp;" （"&amp;口算题!B42&amp;"） "&amp;口算题!E42&amp;" "&amp;口算题!C42,口算题!A42&amp;" "&amp;口算题!D42&amp;" "&amp;口算题!B42&amp;" "&amp;口算题!E42&amp;" （"&amp;口算题!C42&amp;"）"))&amp;" = "&amp;口算题!G42</f>
        <v>77 - （32） - 13 = 32</v>
      </c>
      <c r="I7" s="7" t="n"/>
      <c r="J7" s="7" t="n"/>
    </row>
    <row r="8" ht="30" customHeight="1">
      <c r="A8" s="12" t="str">
        <f>口算题!G28&amp;" "&amp;口算题!E28&amp;" "&amp;口算题!H28&amp;" = "&amp;IF(口算题!E28="+",口算题!G28+口算题!H28,口算题!G28-口算题!H28)</f>
        <v>11 + 7 = 18</v>
      </c>
      <c r="B8" s="7" t="n"/>
      <c r="C8" s="12" t="str">
        <f>口算题!G33&amp;" "&amp;口算题!E33&amp;" "&amp;口算题!H33&amp;" = "&amp;IF(口算题!E33="+",口算题!G33+口算题!H33,口算题!G33-口算题!H33)</f>
        <v>18 + 29 = 47</v>
      </c>
      <c r="D8" s="7" t="n"/>
      <c r="E8" s="12" t="str">
        <f>口算题!G38&amp;" "&amp;口算题!E38&amp;" "&amp;口算题!H38&amp;" "&amp;口算题!F38&amp;" "&amp;口算题!I38&amp;" = "&amp;IF(口算题!F38="+",IF(口算题!E38="+",口算题!G38+口算题!H38,口算题!G38-口算题!H38)+口算题!I38,IF(口算题!E38="+",口算题!G38+口算题!H38,口算题!G38-口算题!H38)-口算题!I38)</f>
        <v>50 + 25 - 30 = 45</v>
      </c>
      <c r="F8" s="7" t="n"/>
      <c r="G8" s="7" t="n"/>
      <c r="H8" s="12" t="str">
        <f>IF(口算题!F43=1,"（"&amp;口算题!A43&amp;"） "&amp;口算题!D43&amp;" "&amp;口算题!B43&amp;" "&amp;口算题!E43&amp;" "&amp;口算题!C43,IF(口算题!F43=2,口算题!A43&amp;" "&amp;口算题!D43&amp;" （"&amp;口算题!B43&amp;"） "&amp;口算题!E43&amp;" "&amp;口算题!C43,口算题!A43&amp;" "&amp;口算题!D43&amp;" "&amp;口算题!B43&amp;" "&amp;口算题!E43&amp;" （"&amp;口算题!C43&amp;"）"))&amp;" = "&amp;口算题!G43</f>
        <v>13 + 74 - （34） = 53</v>
      </c>
      <c r="I8" s="7" t="n"/>
      <c r="J8" s="7" t="n"/>
    </row>
    <row r="9" ht="30" customHeight="1">
      <c r="A9" s="12" t="str">
        <f>口算题!G29&amp;" "&amp;口算题!E29&amp;" "&amp;口算题!H29&amp;" = "&amp;IF(口算题!E29="+",口算题!G29+口算题!H29,口算题!G29-口算题!H29)</f>
        <v>34 - 23 = 11</v>
      </c>
      <c r="B9" s="7" t="n"/>
      <c r="C9" s="12" t="str">
        <f>口算题!G34&amp;" "&amp;口算题!E34&amp;" "&amp;口算题!H34&amp;" = "&amp;IF(口算题!E34="+",口算题!G34+口算题!H34,口算题!G34-口算题!H34)</f>
        <v>22 - 6 = 16</v>
      </c>
      <c r="D9" s="7" t="n"/>
      <c r="E9" s="12" t="str">
        <f>口算题!G39&amp;" "&amp;口算题!E39&amp;" "&amp;口算题!H39&amp;" "&amp;口算题!F39&amp;" "&amp;口算题!I39&amp;" = "&amp;IF(口算题!F39="+",IF(口算题!E39="+",口算题!G39+口算题!H39,口算题!G39-口算题!H39)+口算题!I39,IF(口算题!E39="+",口算题!G39+口算题!H39,口算题!G39-口算题!H39)-口算题!I39)</f>
        <v>69 - 15 + 17 = 71</v>
      </c>
      <c r="F9" s="7" t="n"/>
      <c r="G9" s="7" t="n"/>
      <c r="H9" s="12" t="str">
        <f>IF(口算题!F44=1,"（"&amp;口算题!A44&amp;"） "&amp;口算题!D44&amp;" "&amp;口算题!B44&amp;" "&amp;口算题!E44&amp;" "&amp;口算题!C44,IF(口算题!F44=2,口算题!A44&amp;" "&amp;口算题!D44&amp;" （"&amp;口算题!B44&amp;"） "&amp;口算题!E44&amp;" "&amp;口算题!C44,口算题!A44&amp;" "&amp;口算题!D44&amp;" "&amp;口算题!B44&amp;" "&amp;口算题!E44&amp;" （"&amp;口算题!C44&amp;"）"))&amp;" = "&amp;口算题!G44</f>
        <v>86 - 45 + （57） = 98</v>
      </c>
      <c r="I9" s="7" t="n"/>
      <c r="J9" s="7" t="n"/>
    </row>
    <row r="10" ht="30" customHeight="1">
      <c r="A10" s="12" t="str">
        <f>口算题!G30&amp;" "&amp;口算题!E30&amp;" "&amp;口算题!H30&amp;" = "&amp;IF(口算题!E30="+",口算题!G30+口算题!H30,口算题!G30-口算题!H30)</f>
        <v>75 + 11 = 86</v>
      </c>
      <c r="B10" s="7" t="n"/>
      <c r="C10" s="12" t="str">
        <f>口算题!G35&amp;" "&amp;口算题!E35&amp;" "&amp;口算题!H35&amp;" = "&amp;IF(口算题!E35="+",口算题!G35+口算题!H35,口算题!G35-口算题!H35)</f>
        <v>14 + 28 = 42</v>
      </c>
      <c r="D10" s="7" t="n"/>
      <c r="E10" s="12" t="str">
        <f>口算题!G40&amp;" "&amp;口算题!E40&amp;" "&amp;口算题!H40&amp;" "&amp;口算题!F40&amp;" "&amp;口算题!I40&amp;" = "&amp;IF(口算题!F40="+",IF(口算题!E40="+",口算题!G40+口算题!H40,口算题!G40-口算题!H40)+口算题!I40,IF(口算题!E40="+",口算题!G40+口算题!H40,口算题!G40-口算题!H40)-口算题!I40)</f>
        <v>70 - 40 + 29 = 59</v>
      </c>
      <c r="F10" s="7" t="n"/>
      <c r="G10" s="7" t="n"/>
      <c r="H10" s="12" t="str">
        <f>IF(口算题!F45=1,"（"&amp;口算题!A45&amp;"） "&amp;口算题!D45&amp;" "&amp;口算题!B45&amp;" "&amp;口算题!E45&amp;" "&amp;口算题!C45,IF(口算题!F45=2,口算题!A45&amp;" "&amp;口算题!D45&amp;" （"&amp;口算题!B45&amp;"） "&amp;口算题!E45&amp;" "&amp;口算题!C45,口算题!A45&amp;" "&amp;口算题!D45&amp;" "&amp;口算题!B45&amp;" "&amp;口算题!E45&amp;" （"&amp;口算题!C45&amp;"）"))&amp;" = "&amp;口算题!G45</f>
        <v>（59） + 28 - 36 = 51</v>
      </c>
      <c r="I10" s="7" t="n"/>
      <c r="J10" s="7" t="n"/>
    </row>
    <row r="11" ht="8" customHeight="1"/>
    <row r="12" ht="24" customHeight="1">
      <c r="A12" s="4" t="inlineStr">
        <is>
          <t>二、竖式计算（加减混合，5题）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24" customHeight="1">
      <c r="A13" s="13">
        <f>口算题!G46</f>
        <v>46</v>
      </c>
      <c r="C13" s="13">
        <f>口算题!G47</f>
        <v>53</v>
      </c>
      <c r="E13" s="13">
        <f>口算题!G48</f>
        <v>80</v>
      </c>
      <c r="G13" s="13">
        <f>口算题!G49</f>
        <v>19</v>
      </c>
      <c r="I13" s="13">
        <f>口算题!G50</f>
        <v>30</v>
      </c>
    </row>
    <row r="14" ht="24" customHeight="1">
      <c r="A14" s="14" t="str">
        <f>口算题!E46&amp;" "&amp;口算题!H46</f>
        <v>- 27</v>
      </c>
      <c r="C14" s="14" t="str">
        <f>口算题!E47&amp;" "&amp;口算题!H47</f>
        <v>+ 28</v>
      </c>
      <c r="E14" s="14" t="str">
        <f>口算题!E48&amp;" "&amp;口算题!H48</f>
        <v>- 46</v>
      </c>
      <c r="G14" s="14" t="str">
        <f>口算题!E49&amp;" "&amp;口算题!H49</f>
        <v>+ 43</v>
      </c>
      <c r="I14" s="14" t="str">
        <f>口算题!E50&amp;" "&amp;口算题!H50</f>
        <v>- 19</v>
      </c>
    </row>
    <row r="15" ht="34" customHeight="1">
      <c r="A15" s="13">
        <f>IF(口算题!E46="+",口算题!G46+口算题!H46,口算题!G46-口算题!H46)</f>
        <v>19</v>
      </c>
      <c r="C15" s="13">
        <f>IF(口算题!E47="+",口算题!G47+口算题!H47,口算题!G47-口算题!H47)</f>
        <v>81</v>
      </c>
      <c r="E15" s="13">
        <f>IF(口算题!E48="+",口算题!G48+口算题!H48,口算题!G48-口算题!H48)</f>
        <v>34</v>
      </c>
      <c r="G15" s="13">
        <f>IF(口算题!E49="+",口算题!G49+口算题!H49,口算题!G49-口算题!H49)</f>
        <v>62</v>
      </c>
      <c r="I15" s="13">
        <f>IF(口算题!E50="+",口算题!G50+口算题!H50,口算题!G50-口算题!H50)</f>
        <v>11</v>
      </c>
    </row>
    <row r="16" ht="10" customHeight="1"/>
    <row r="17" ht="24" customHeight="1">
      <c r="A17" s="4" t="inlineStr">
        <is>
          <t>三、按规律填空和等量代换（5题）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34" customHeight="1">
      <c r="A18" s="15" t="str">
        <f>"1、按规律填数："&amp;口算题!A51&amp;"、"&amp;(口算题!A51+口算题!D51)&amp;"、"&amp;(口算题!A51+2*口算题!D51)&amp;"、（"&amp;(口算题!A51+3*口算题!D51)&amp;"）、"&amp;(口算题!A51+4*口算题!D51)</f>
        <v>1、按规律填数：3、12、21、（30）、39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34" customHeight="1">
      <c r="A19" s="15" t="str">
        <f>IF(口算题!J52=1,"2、找规律，接着画：● ○ ● ○ ● （○）",IF(口算题!J52=2,"2、找规律，接着画：○ ● ○ ● ○ （●）",IF(口算题!J52=3,"2、找规律，接着画：▲ ■ ▲ ■ ▲ （■）","2、找规律，接着画：● ● ○ ● ● ○ ● （●）")))</f>
        <v>2、找规律，接着画：● ● ○ ● ● ○ ● （●）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34" customHeight="1">
      <c r="A20" s="15" t="str">
        <f>"3、1个西瓜 = "&amp;口算题!A53&amp;"个苹果，1个苹果 = "&amp;口算题!B53&amp;"个桃子，1个西瓜 =（"&amp;(口算题!A53*口算题!B53)&amp;"）个桃子"</f>
        <v>3、1个西瓜 = 3个苹果，1个苹果 = 4个桃子，1个西瓜 =（12）个桃子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 ht="34" customHeight="1">
      <c r="A21" s="15" t="str">
        <f>"4、△ + △ + △ = "&amp;(3*口算题!A54)&amp;"，△ =（"&amp;口算题!A54&amp;"）"</f>
        <v>4、△ + △ + △ = 24，△ =（8）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34" customHeight="1">
      <c r="A22" s="15" t="str">
        <f>"5、△ + ○ = "&amp;口算题!A55&amp;"，△ = "&amp;口算题!B55&amp;"，○ =（"&amp;(口算题!A55-口算题!B55)&amp;"）"</f>
        <v>5、△ + ○ = 15，△ = 6，○ =（9）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 ht="8" customHeight="1"/>
    <row r="24" ht="15" customHeight="1">
      <c r="A24" s="11" t="inlineStr">
        <is>
          <t>答案页：括号内为所填的数，竖式下方为得数。</t>
        </is>
      </c>
    </row>
  </sheetData>
  <mergeCells count="32">
    <mergeCell ref="A5:J5"/>
    <mergeCell ref="E10:G10"/>
    <mergeCell ref="C6:D6"/>
    <mergeCell ref="A22:J22"/>
    <mergeCell ref="A17:J17"/>
    <mergeCell ref="E9:G9"/>
    <mergeCell ref="A20:J20"/>
    <mergeCell ref="A6:B6"/>
    <mergeCell ref="E6:G6"/>
    <mergeCell ref="H7:J7"/>
    <mergeCell ref="A19:J19"/>
    <mergeCell ref="C10:D10"/>
    <mergeCell ref="A7:B7"/>
    <mergeCell ref="A24:J24"/>
    <mergeCell ref="C9:D9"/>
    <mergeCell ref="E7:G7"/>
    <mergeCell ref="A1:J1"/>
    <mergeCell ref="H8:J8"/>
    <mergeCell ref="A8:B8"/>
    <mergeCell ref="C8:D8"/>
    <mergeCell ref="H10:J10"/>
    <mergeCell ref="C7:D7"/>
    <mergeCell ref="A18:J18"/>
    <mergeCell ref="A3:J3"/>
    <mergeCell ref="A10:B10"/>
    <mergeCell ref="E8:G8"/>
    <mergeCell ref="A21:J21"/>
    <mergeCell ref="A12:J12"/>
    <mergeCell ref="H9:J9"/>
    <mergeCell ref="A2:J2"/>
    <mergeCell ref="A9:B9"/>
    <mergeCell ref="H6:J6"/>
  </mergeCells>
  <printOptions horizontalCentered="1"/>
  <pageMargins left="0.45" right="0.45" top="0.5" bottom="0.5" header="0.25" footer="0.2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2026-10-25T08:20:54Z</dcterms:created>
  <dcterms:modified xsi:type="dcterms:W3CDTF">2026-10-25T08:20:54Z</dcterms:modified>
</cp:coreProperties>
</file>